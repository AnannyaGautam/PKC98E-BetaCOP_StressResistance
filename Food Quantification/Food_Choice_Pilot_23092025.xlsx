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Food quantification\"/>
    </mc:Choice>
  </mc:AlternateContent>
  <xr:revisionPtr revIDLastSave="0" documentId="13_ncr:1_{385CD0EC-A926-4EEA-AE13-26C6C084610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0" i="2" l="1" a="1"/>
  <c r="X50" i="2" s="1"/>
  <c r="Z50" i="2" s="1"/>
  <c r="X20" i="2" a="1"/>
  <c r="X20" i="2" s="1"/>
  <c r="Z20" i="2" s="1"/>
  <c r="U62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1" i="2"/>
  <c r="Z52" i="2"/>
  <c r="Z53" i="2"/>
  <c r="Z54" i="2"/>
  <c r="Z55" i="2"/>
  <c r="Z56" i="2"/>
  <c r="Z57" i="2"/>
  <c r="Z58" i="2"/>
  <c r="Z59" i="2"/>
  <c r="T50" i="2" a="1"/>
  <c r="T50" i="2" s="1"/>
  <c r="X40" i="2" a="1"/>
  <c r="X40" i="2" s="1"/>
  <c r="T40" i="2" a="1"/>
  <c r="T40" i="2" s="1"/>
  <c r="T30" i="2" a="1"/>
  <c r="T30" i="2" s="1"/>
  <c r="X30" i="2" a="1"/>
  <c r="X30" i="2" s="1"/>
  <c r="T20" i="2" a="1"/>
  <c r="T20" i="2" s="1"/>
  <c r="AL19" i="2" a="1"/>
  <c r="AL19" i="2" s="1"/>
  <c r="AL15" i="2" a="1"/>
  <c r="AL15" i="2" s="1"/>
  <c r="Y62" i="2" l="1"/>
  <c r="V30" i="2"/>
  <c r="AW13" i="2"/>
  <c r="AX14" i="2"/>
  <c r="AX15" i="2"/>
  <c r="AW19" i="2"/>
  <c r="AV18" i="2"/>
  <c r="AW20" i="2"/>
  <c r="V35" i="2" l="1"/>
  <c r="V36" i="2"/>
  <c r="V37" i="2"/>
  <c r="V38" i="2"/>
  <c r="V39" i="2"/>
  <c r="V40" i="2"/>
  <c r="V41" i="2"/>
  <c r="V42" i="2"/>
  <c r="V44" i="2"/>
  <c r="V46" i="2"/>
  <c r="V48" i="2"/>
  <c r="V50" i="2"/>
  <c r="V52" i="2"/>
  <c r="V53" i="2"/>
  <c r="V22" i="2"/>
  <c r="V45" i="2"/>
  <c r="V21" i="2"/>
  <c r="V43" i="2"/>
  <c r="V47" i="2"/>
  <c r="V51" i="2"/>
  <c r="V54" i="2"/>
  <c r="V49" i="2"/>
  <c r="V55" i="2"/>
  <c r="V57" i="2"/>
  <c r="V58" i="2"/>
  <c r="V28" i="2"/>
  <c r="V24" i="2"/>
  <c r="V23" i="2"/>
  <c r="V56" i="2"/>
  <c r="V26" i="2"/>
  <c r="V27" i="2"/>
  <c r="V59" i="2"/>
  <c r="V29" i="2"/>
  <c r="V32" i="2"/>
  <c r="V33" i="2"/>
  <c r="V34" i="2"/>
  <c r="V31" i="2"/>
  <c r="V25" i="2"/>
  <c r="V20" i="2"/>
  <c r="AI2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Tecan</author>
  </authors>
  <commentList>
    <comment ref="E1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 xml:space="preserve">Tecan.At.Common, 3.4.2.0
Tecan.At.Common.DocumentManagement, 3.4.2.0
Tecan.At.Common.DocumentManagement.Reader, 3.2.3.0
Tecan.At.Common.MCS, 3.4.2.0
Tecan.At.Common.Results, 3.4.2.0
Tecan.At.Common.UI, 3.4.2.0
Tecan.At.Communication.Common, 3.4.2.0
Tecan.At.Communication.Port.IP, 3.4.2.0
Tecan.At.Communication.Port.RS232, 3.4.2.0
Tecan.At.Communication.Port.SIM.Common, 3.4.2.0
Tecan.At.Communication.Port.USB, 3.4.2.0
Tecan.At.Communication.Server, 3.4.2.0
Tecan.At.Communication.SIM.AMR, 3.2.3.0
Tecan.At.Communication.SIM.AMRPlus, 3.2.3.0
Tecan.At.Communication.SIM.Connect, 3.4.2.0
Tecan.At.Communication.SIM.GeniosUltra, 3.2.3.0
Tecan.At.Communication.SIM.Safire3, 3.2.3.0
Tecan.At.Communication.SIM.Safire3Pro, 3.2.3.0
Tecan.At.Communication.SIM.SunriseMini, 3.2.3.0
Tecan.At.Instrument.Common, 3.4.2.0
Tecan.At.Instrument.Common.GCM, 3.4.2.0
Tecan.At.Instrument.Common.Reader, 3.2.3.0
Tecan.At.Instrument.Common.Stacker, 3.4.2.0
Tecan.At.Instrument.Gas.GCM, 3.4.2.0
Tecan.At.Instrument.GCM.Server, 3.4.2.0
Tecan.At.Instrument.Reader.AMR, 3.2.3.0
Tecan.At.Instrument.Reader.AMRPlus, 3.2.3.0
Tecan.At.Instrument.Reader.GeniosUltra, 3.2.3.0
Tecan.At.Instrument.Reader.Safire3, 3.2.3.0
Tecan.At.Instrument.Reader.Safire3Pro, 3.2.3.0
Tecan.At.Instrument.Reader.SunriseMini, 3.2.3.0
Tecan.At.Instrument.Server, 3.4.2.0
Tecan.At.Instrument.Stacker.Connect, 3.4.2.0
Tecan.At.Instrument.Stacker.Server, 3.4.2.0
Tecan.At.Measurement.BuiltInTest.Common, 3.2.3.0
Tecan.At.Measurement.Common, 3.2.3.0
Tecan.At.Measurement.Server, 3.2.3.0
Tecan.At.XFluor, 1.10.4.0
Tecan.At.XFluor.Connect.Reader, 1.10.4.0
Tecan.At.XFluor.Core, 1.10.4.0
Tecan.At.XFluor.Device, 1.10.4.0
Tecan.At.XFluor.Device.AMR, 1.10.4.0
Tecan.At.XFluor.Device.AMRPlus, 1.10.4.0
Tecan.At.XFluor.Device.GeniosUltra, 1.10.4.0
Tecan.At.XFluor.Device.Reader, 1.10.4.0
Tecan.At.XFluor.Device.Safire3, 1.10.4.0
Tecan.At.XFluor.Device.Safire3Pro, 1.10.4.0
Tecan.At.XFluor.Device.SunriseMini, 1.10.4.0
Tecan.At.XFluor.ExcelOutput, 1.10.4.0
Tecan.At.XFluor.NanoQuant, 1.10.4.0
Tecan.At.XFluor.ReaderEditor, 1.10.4.0
</t>
        </r>
      </text>
    </comment>
    <comment ref="E3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 xml:space="preserve">MEX, V 1.20 Safire2 MCR  (V 1.20 Safire2 MCR )
MEM, V 1.20 Safire2 MCR  (V 1.20 Safire2 MCR )
FPO, V_1.03_Safire2 FP  (V_1.03_Safire2 FP )
ABS, V 1.00 MCR Abs 4 Channel (V 1.00 MCR Abs 4 Channel)
LUM, V_1.04_11/2011_LUMINESCENCE (Nov 02 2011/17.53.34)
INA, V_1.05_11/2011_S3LCE_ALPHA (Nov  3 2011/09.27.24)
INB, V_1.05_11/2011_S3LCE_ALPHA (Nov  3 2011/09.27.24)
TCAN, V_1.00_02/2008_S3FTCAN (Feb 21 2008/17.19.16)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<sst xmlns="http://schemas.openxmlformats.org/spreadsheetml/2006/main" count="75" uniqueCount="51">
  <si>
    <t>Application: Tecan i-control</t>
  </si>
  <si>
    <t>Tecan i-control , 1.10.4.0</t>
  </si>
  <si>
    <t>Device: infinite M1000Pro</t>
  </si>
  <si>
    <t>Serial number: 1407000083</t>
  </si>
  <si>
    <t>Firmware: V_1.05_11/2011_S3LCE_ALPHA (Nov  3 2011/09.27.24)</t>
  </si>
  <si>
    <t>MAI, V_1.05_11/2011_S3LCE_ALPHA (Nov  3 2011/09.27.24)</t>
  </si>
  <si>
    <t>Date:</t>
  </si>
  <si>
    <t>23/09/2025</t>
  </si>
  <si>
    <t>Time:</t>
  </si>
  <si>
    <t>5:19:48 PM</t>
  </si>
  <si>
    <t>System</t>
  </si>
  <si>
    <t>TECAN-HP</t>
  </si>
  <si>
    <t>User</t>
  </si>
  <si>
    <t>Tecan-HP\Tecan</t>
  </si>
  <si>
    <t>Plate</t>
  </si>
  <si>
    <t>Greiner 96 Flat Bottom Transparent Polystyrene Cat. No.: 655101/655161/655192 [GRE96ft.pdfx]</t>
  </si>
  <si>
    <t>Plate-ID (Stacker)</t>
  </si>
  <si>
    <t>Label: Red</t>
  </si>
  <si>
    <t>Mode</t>
  </si>
  <si>
    <t>Absorbance</t>
  </si>
  <si>
    <t>Wavelength</t>
  </si>
  <si>
    <t>nm</t>
  </si>
  <si>
    <t>Number of Flashes</t>
  </si>
  <si>
    <t>Settle Time</t>
  </si>
  <si>
    <t>ms</t>
  </si>
  <si>
    <t>Start Time:</t>
  </si>
  <si>
    <t>23/09/2025 5:19:48 PM</t>
  </si>
  <si>
    <t>Temperature: 25.1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</si>
  <si>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</si>
  <si>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</si>
  <si>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</si>
  <si>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</si>
  <si>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</si>
  <si>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</si>
  <si>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</si>
  <si>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</si>
  <si>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</si>
  <si>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</si>
  <si>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23/09/2025 5:20:00 PM</t>
  </si>
  <si>
    <t>Label: Blue</t>
  </si>
  <si>
    <t>Temperature: 24.9 °C</t>
  </si>
  <si>
    <t>23/09/2025 5:20:13 PM</t>
  </si>
  <si>
    <t>TAG</t>
  </si>
  <si>
    <t>CONC</t>
  </si>
  <si>
    <t xml:space="preserve">SLOPE </t>
  </si>
  <si>
    <t>ABS</t>
  </si>
  <si>
    <t>Intercept</t>
  </si>
  <si>
    <t>Protein</t>
  </si>
  <si>
    <t>Conc</t>
  </si>
  <si>
    <t xml:space="preserve">INTERCEPT </t>
  </si>
  <si>
    <t>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</si>
</sst>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charset val="1"/>
    </font>
    <font>
      <sz val="11"/>
      <color rgb="FF000000"/>
      <name val="Arial"/>
      <family val="2"/>
    </font>
    <font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CFE2F3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8">
    <xf numFmtId="0" fontId="0" fillId="0" borderId="0" xfId="0"/>
    <xf numFmtId="0" fontId="0" fillId="0" borderId="0" xfId="0" quotePrefix="1"/>
    <xf numFmtId="0" fontId="1" fillId="9" borderId="0" xfId="0" applyFont="1" applyFill="1"/>
    <xf numFmtId="0" fontId="4" fillId="10" borderId="1" xfId="0" applyFont="1" applyFill="1" applyBorder="1" applyAlignment="1">
      <alignment horizontal="right" vertical="center" wrapText="1"/>
    </xf>
    <xf numFmtId="0" fontId="5" fillId="0" borderId="2" xfId="0" applyFont="1" applyBorder="1" applyAlignment="1">
      <alignment horizontal="right" vertical="center" wrapText="1"/>
    </xf>
    <xf numFmtId="0" fontId="4" fillId="10" borderId="2" xfId="0" applyFont="1" applyFill="1" applyBorder="1" applyAlignment="1">
      <alignment horizontal="right" vertical="center" wrapText="1"/>
    </xf>
    <xf numFmtId="0" fontId="5" fillId="0" borderId="3" xfId="0" applyFont="1" applyBorder="1" applyAlignment="1">
      <alignment horizontal="right" vertical="center" wrapText="1"/>
    </xf>
    <xf numFmtId="0" fontId="5" fillId="0" borderId="0" xfId="0" applyFont="1" applyAlignment="1">
      <alignment vertical="center" wrapText="1"/>
    </xf>
  </cellXfs>
  <cellStyles count="8">
    <cellStyle name="Normal" xfId="0" builtinId="0"/>
    <cellStyle name="Tecan.At.Excel.Attenuation" xfId="6" xr:uid="{00000000-0005-0000-0000-000001000000}"/>
    <cellStyle name="Tecan.At.Excel.AutoGain_0" xfId="7" xr:uid="{00000000-0005-0000-0000-000002000000}"/>
    <cellStyle name="Tecan.At.Excel.Error" xfId="1" xr:uid="{00000000-0005-0000-0000-000003000000}"/>
    <cellStyle name="Tecan.At.Excel.GFactorAndMeasurementBlank" xfId="5" xr:uid="{00000000-0005-0000-0000-000004000000}"/>
    <cellStyle name="Tecan.At.Excel.GFactorBlank" xfId="3" xr:uid="{00000000-0005-0000-0000-000005000000}"/>
    <cellStyle name="Tecan.At.Excel.GFactorReference" xfId="4" xr:uid="{00000000-0005-0000-0000-000006000000}"/>
    <cellStyle name="Tecan.At.Excel.MeasurementBlank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Sheet2!$AK$19</c:f>
              <c:strCache>
                <c:ptCount val="1"/>
                <c:pt idx="0">
                  <c:v>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Sheet2!$AL$18:$AS$18</c:f>
              <c:numCache>
                <c:formatCode>General</c:formatCode>
                <c:ptCount val="8"/>
                <c:pt idx="0">
                  <c:v>39</c:v>
                </c:pt>
                <c:pt idx="1">
                  <c:v>19.5</c:v>
                </c:pt>
                <c:pt idx="2">
                  <c:v>9.75</c:v>
                </c:pt>
                <c:pt idx="3">
                  <c:v>4.88</c:v>
                </c:pt>
                <c:pt idx="4">
                  <c:v>2.44</c:v>
                </c:pt>
                <c:pt idx="5">
                  <c:v>1.22</c:v>
                </c:pt>
                <c:pt idx="6">
                  <c:v>0.61</c:v>
                </c:pt>
                <c:pt idx="7">
                  <c:v>0</c:v>
                </c:pt>
              </c:numCache>
            </c:numRef>
          </c:xVal>
          <c:yVal>
            <c:numRef>
              <c:f>Sheet2!$AL$19:$AS$19</c:f>
              <c:numCache>
                <c:formatCode>General</c:formatCode>
                <c:ptCount val="8"/>
                <c:pt idx="0">
                  <c:v>2.4825999736785889</c:v>
                </c:pt>
                <c:pt idx="1">
                  <c:v>1.2786999940872192</c:v>
                </c:pt>
                <c:pt idx="2">
                  <c:v>0.67390000820159912</c:v>
                </c:pt>
                <c:pt idx="3">
                  <c:v>0.3619999885559082</c:v>
                </c:pt>
                <c:pt idx="4">
                  <c:v>0.19730000197887421</c:v>
                </c:pt>
                <c:pt idx="5">
                  <c:v>0.11779999732971191</c:v>
                </c:pt>
                <c:pt idx="6">
                  <c:v>7.5099997222423553E-2</c:v>
                </c:pt>
                <c:pt idx="7">
                  <c:v>3.6800000816583633E-2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00-4030-9FE1-CDA032BB04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8709936"/>
        <c:axId val="1198711376"/>
      </c:scatterChart>
      <c:valAx>
        <c:axId val="1198709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711376"/>
        <c:crosses val="autoZero"/>
        <c:crossBetween val="midCat"/>
      </c:valAx>
      <c:valAx>
        <c:axId val="119871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709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597960</xdr:colOff>
      <xdr:row>23</xdr:row>
      <xdr:rowOff>76994</xdr:rowOff>
    </xdr:from>
    <xdr:to>
      <xdr:col>48</xdr:col>
      <xdr:colOff>301627</xdr:colOff>
      <xdr:row>38</xdr:row>
      <xdr:rowOff>42069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4251A2-2FFB-105E-579E-B742924744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62"/>
  <sheetViews>
    <sheetView tabSelected="1" topLeftCell="M6" zoomScale="59" workbookViewId="0">
      <selection activeCell="T12" sqref="T12:AZ62"/>
    </sheetView>
  </sheetViews>
  <sheetFormatPr defaultRowHeight="14.5" x14ac:dyDescent="0.35"/>
  <sheetData>
    <row r="1" spans="1:50" x14ac:dyDescent="0.35">
      <c r="A1" t="s">
        <v>0</v>
      </c>
      <c r="E1" t="s">
        <v>1</v>
      </c>
    </row>
    <row r="2" spans="1:50" x14ac:dyDescent="0.35">
      <c r="A2" t="s">
        <v>2</v>
      </c>
      <c r="E2" t="s">
        <v>3</v>
      </c>
    </row>
    <row r="3" spans="1:50" x14ac:dyDescent="0.35">
      <c r="A3" t="s">
        <v>4</v>
      </c>
      <c r="E3" t="s">
        <v>5</v>
      </c>
    </row>
    <row r="5" spans="1:50" x14ac:dyDescent="0.35">
      <c r="A5" t="s">
        <v>6</v>
      </c>
      <c r="B5" t="s">
        <v>7</v>
      </c>
    </row>
    <row r="6" spans="1:50" x14ac:dyDescent="0.35">
      <c r="A6" t="s">
        <v>8</v>
      </c>
      <c r="B6" s="1" t="s">
        <v>9</v>
      </c>
    </row>
    <row r="9" spans="1:50" x14ac:dyDescent="0.35">
      <c r="A9" t="s">
        <v>10</v>
      </c>
      <c r="E9" t="s">
        <v>11</v>
      </c>
    </row>
    <row r="10" spans="1:50" x14ac:dyDescent="0.35">
      <c r="A10" t="s">
        <v>12</v>
      </c>
      <c r="E10" t="s">
        <v>13</v>
      </c>
    </row>
    <row r="11" spans="1:50" x14ac:dyDescent="0.35">
      <c r="A11" t="s">
        <v>14</v>
      </c>
      <c r="E11" t="s">
        <v>15</v>
      </c>
    </row>
    <row r="12" spans="1:50" x14ac:dyDescent="0.35">
      <c r="A12" t="s">
        <v>16</v>
      </c>
    </row>
    <row r="13" spans="1:50" ht="15" thickBot="1" x14ac:dyDescent="0.4">
      <c r="AK13" t="s">
        <v>42</v>
      </c>
      <c r="AW13" t="str">
        <f>"y = "
 &amp;TEXT( SLOPE(AL15:AU15, AL14:AU14), "0.0000") &amp; "x "
 &amp;IF( INTERCEPT(AL15:AU15, AL14:AU14)&gt;=0, "+ ","- ")
 &amp;TEXT( ABS( INTERCEPT(AL15:AU15, AL14:AU14) ), "0.0000")
 &amp;"   (R"&amp;_xlfn.UNICHAR(178)&amp;" = "
 &amp;TEXT( RSQ(AL15:AU15, AL14:AU14), "0.0000")
 &amp;")"</f>
        <v>y = 0.0076x + 0.0652   (R² = 0.0094)</v>
      </c>
    </row>
    <row r="14" spans="1:50" ht="15" thickBot="1" x14ac:dyDescent="0.4">
      <c r="AK14" t="s">
        <v>43</v>
      </c>
      <c r="AL14" s="3">
        <v>0.78125</v>
      </c>
      <c r="AM14" s="4">
        <v>0.390625</v>
      </c>
      <c r="AN14" s="4">
        <v>0.1953125</v>
      </c>
      <c r="AO14" s="4">
        <v>9.765625E-2</v>
      </c>
      <c r="AP14" s="4">
        <v>4.8828125E-2</v>
      </c>
      <c r="AQ14" s="4">
        <v>2.44140625E-2</v>
      </c>
      <c r="AR14" s="4">
        <v>1.220703125E-2</v>
      </c>
      <c r="AS14" s="4">
        <v>6.103515625E-3</v>
      </c>
      <c r="AT14" s="4">
        <v>3.0517578130000002E-3</v>
      </c>
      <c r="AU14" s="5">
        <v>0</v>
      </c>
      <c r="AW14" t="s">
        <v>44</v>
      </c>
      <c r="AX14">
        <f>SLOPE(_xlfn.ANCHORARRAY(AL15),AL14:AU14)</f>
        <v>7.5704176704376415E-3</v>
      </c>
    </row>
    <row r="15" spans="1:50" x14ac:dyDescent="0.35">
      <c r="A15" t="s">
        <v>17</v>
      </c>
      <c r="AK15" t="s">
        <v>45</v>
      </c>
      <c r="AL15" cm="1">
        <f t="array" ref="AL15:AU15">B31:K31</f>
        <v>5.8600001037120819E-2</v>
      </c>
      <c r="AM15">
        <v>0.10649999976158142</v>
      </c>
      <c r="AN15">
        <v>3.7099998444318771E-2</v>
      </c>
      <c r="AO15">
        <v>7.2499997913837433E-2</v>
      </c>
      <c r="AP15">
        <v>6.1799999326467514E-2</v>
      </c>
      <c r="AQ15">
        <v>6.6699996590614319E-2</v>
      </c>
      <c r="AR15">
        <v>6.4400002360343933E-2</v>
      </c>
      <c r="AS15">
        <v>8.4399998188018799E-2</v>
      </c>
      <c r="AT15">
        <v>6.9099999964237213E-2</v>
      </c>
      <c r="AU15">
        <v>4.2899999767541885E-2</v>
      </c>
      <c r="AW15" t="s">
        <v>46</v>
      </c>
      <c r="AX15">
        <f>INTERCEPT(_xlfn.ANCHORARRAY(AL15),AL14:AU14)</f>
        <v>6.5219431882528919E-2</v>
      </c>
    </row>
    <row r="16" spans="1:50" x14ac:dyDescent="0.35">
      <c r="A16" t="s">
        <v>18</v>
      </c>
      <c r="E16" t="s">
        <v>19</v>
      </c>
    </row>
    <row r="17" spans="1:49" x14ac:dyDescent="0.35">
      <c r="A17" t="s">
        <v>20</v>
      </c>
      <c r="E17">
        <v>540</v>
      </c>
      <c r="F17" t="s">
        <v>21</v>
      </c>
      <c r="AK17" t="s">
        <v>47</v>
      </c>
    </row>
    <row r="18" spans="1:49" ht="15" thickBot="1" x14ac:dyDescent="0.4">
      <c r="A18" t="s">
        <v>22</v>
      </c>
      <c r="E18">
        <v>25</v>
      </c>
      <c r="AK18" t="s">
        <v>48</v>
      </c>
      <c r="AL18" s="4">
        <v>39</v>
      </c>
      <c r="AM18" s="4">
        <v>19.5</v>
      </c>
      <c r="AN18" s="4">
        <v>9.75</v>
      </c>
      <c r="AO18" s="4">
        <v>4.88</v>
      </c>
      <c r="AP18" s="4">
        <v>2.44</v>
      </c>
      <c r="AQ18" s="4">
        <v>1.22</v>
      </c>
      <c r="AR18" s="4">
        <v>0.61</v>
      </c>
      <c r="AS18" s="6">
        <v>0</v>
      </c>
      <c r="AV18" t="str">
        <f>"y = "
 &amp;TEXT( SLOPE( AL19:AS19, AL18:AS18 ), "0.0000") &amp; "x "
 &amp;IF( INTERCEPT( AL19:AS19, AL18:AS18 ) &gt;= 0, "+ ", "- ")
 &amp;TEXT( ABS( INTERCEPT( AL19:AS19, AL18:AS18 ) ), "0.0000")
 &amp;"   (R"&amp;_xlfn.UNICHAR(178)&amp;" = "
 &amp;TEXT( RSQ( AL19:AS19, AL18:AS18 ), "0.0000")
 &amp;")"</f>
        <v>y = 0.0627x + 0.0462   (R² = 0.9999)</v>
      </c>
    </row>
    <row r="19" spans="1:49" x14ac:dyDescent="0.35">
      <c r="A19" t="s">
        <v>23</v>
      </c>
      <c r="E19">
        <v>0</v>
      </c>
      <c r="F19" t="s">
        <v>24</v>
      </c>
      <c r="T19" t="s">
        <v>45</v>
      </c>
      <c r="V19" t="s">
        <v>43</v>
      </c>
      <c r="X19" t="s">
        <v>50</v>
      </c>
      <c r="Z19" t="s">
        <v>48</v>
      </c>
      <c r="AK19" t="s">
        <v>45</v>
      </c>
      <c r="AL19" cm="1">
        <f t="array" ref="AL19:AS19">TRANSPOSE(M49:M56)</f>
        <v>2.4825999736785889</v>
      </c>
      <c r="AM19">
        <v>1.2786999940872192</v>
      </c>
      <c r="AN19">
        <v>0.67390000820159912</v>
      </c>
      <c r="AO19">
        <v>0.3619999885559082</v>
      </c>
      <c r="AP19">
        <v>0.19730000197887421</v>
      </c>
      <c r="AQ19">
        <v>0.11779999732971191</v>
      </c>
      <c r="AR19">
        <v>7.5099997222423553E-2</v>
      </c>
      <c r="AS19">
        <v>3.6800000816583633E-2</v>
      </c>
      <c r="AV19" t="s">
        <v>44</v>
      </c>
      <c r="AW19">
        <f>SLOPE(_xlfn.ANCHORARRAY(AL19),AL18:AS18)</f>
        <v>6.2716120018403251E-2</v>
      </c>
    </row>
    <row r="20" spans="1:49" x14ac:dyDescent="0.35">
      <c r="A20" t="s">
        <v>25</v>
      </c>
      <c r="B20" s="1" t="s">
        <v>26</v>
      </c>
      <c r="T20" cm="1">
        <f t="array" ref="T20:T29">TRANSPOSE(B49:K49)</f>
        <v>4.9800001084804535E-2</v>
      </c>
      <c r="V20" s="7">
        <f>(T20-$AW$20)/$AW$19</f>
        <v>5.6659548262066685E-2</v>
      </c>
      <c r="W20" s="7"/>
      <c r="X20" cm="1">
        <f t="array" ref="X20:X29">TRANSPOSE(B50:K50)</f>
        <v>9.7699999809265137E-2</v>
      </c>
      <c r="Z20" s="7">
        <f>(X20-$AW$20)/$AW$19</f>
        <v>0.82041851023874757</v>
      </c>
      <c r="AV20" t="s">
        <v>49</v>
      </c>
      <c r="AW20">
        <f>INTERCEPT(_xlfn.ANCHORARRAY(AL19),AL18:AS18)</f>
        <v>4.624653405581225E-2</v>
      </c>
    </row>
    <row r="21" spans="1:49" x14ac:dyDescent="0.35">
      <c r="T21">
        <v>6.8599998950958252E-2</v>
      </c>
      <c r="V21" s="7">
        <f t="shared" ref="V21:V59" si="0">(T21-$AW$20)/$AW$19</f>
        <v>0.35642295614886033</v>
      </c>
      <c r="W21" s="7"/>
      <c r="X21">
        <v>6.5999999642372131E-2</v>
      </c>
      <c r="Z21" s="7">
        <f t="shared" ref="Z21:Z59" si="1">(X21-$AW$20)/$AW$19</f>
        <v>0.31496632095167043</v>
      </c>
    </row>
    <row r="22" spans="1:49" x14ac:dyDescent="0.35">
      <c r="B22" t="s">
        <v>27</v>
      </c>
      <c r="T22">
        <v>8.7999999523162842E-2</v>
      </c>
      <c r="V22" s="7">
        <f t="shared" si="0"/>
        <v>0.66575332554211841</v>
      </c>
      <c r="W22" s="7"/>
      <c r="X22">
        <v>0.11620000004768372</v>
      </c>
      <c r="Z22" s="7">
        <f t="shared" si="1"/>
        <v>1.1153984967715558</v>
      </c>
    </row>
    <row r="23" spans="1:49" x14ac:dyDescent="0.35">
      <c r="A23" s="2" t="s">
        <v>28</v>
      </c>
      <c r="B23" s="2">
        <v>1</v>
      </c>
      <c r="C23" s="2">
        <v>2</v>
      </c>
      <c r="D23" s="2">
        <v>3</v>
      </c>
      <c r="E23" s="2">
        <v>4</v>
      </c>
      <c r="F23" s="2">
        <v>5</v>
      </c>
      <c r="G23" s="2">
        <v>6</v>
      </c>
      <c r="H23" s="2">
        <v>7</v>
      </c>
      <c r="I23" s="2">
        <v>8</v>
      </c>
      <c r="J23" s="2">
        <v>9</v>
      </c>
      <c r="K23" s="2">
        <v>10</v>
      </c>
      <c r="L23" s="2">
        <v>11</v>
      </c>
      <c r="M23" s="2">
        <v>12</v>
      </c>
      <c r="T23">
        <v>6.2300000339746475E-2</v>
      </c>
      <c r="V23" s="7">
        <f t="shared" si="0"/>
        <v>0.25597033552495818</v>
      </c>
      <c r="W23" s="7"/>
      <c r="X23">
        <v>0.11959999799728394</v>
      </c>
      <c r="Z23" s="7">
        <f t="shared" si="1"/>
        <v>1.1696110014450358</v>
      </c>
    </row>
    <row r="24" spans="1:49" x14ac:dyDescent="0.35">
      <c r="A24" s="2" t="s">
        <v>29</v>
      </c>
      <c r="B24">
        <v>5.1399998366832733E-2</v>
      </c>
      <c r="C24">
        <v>5.8400001376867294E-2</v>
      </c>
      <c r="D24">
        <v>7.7399998903274536E-2</v>
      </c>
      <c r="E24">
        <v>5.2700001746416092E-2</v>
      </c>
      <c r="F24">
        <v>7.0799998939037323E-2</v>
      </c>
      <c r="G24">
        <v>4.6900000423192978E-2</v>
      </c>
      <c r="H24">
        <v>4.5699998736381531E-2</v>
      </c>
      <c r="I24">
        <v>7.7799998223781586E-2</v>
      </c>
      <c r="J24">
        <v>8.2299999892711639E-2</v>
      </c>
      <c r="K24">
        <v>5.9599999338388443E-2</v>
      </c>
      <c r="L24">
        <v>5.5799998342990875E-2</v>
      </c>
      <c r="M24">
        <v>0.19329999387264252</v>
      </c>
      <c r="T24">
        <v>0.12319999933242798</v>
      </c>
      <c r="V24" s="7">
        <f t="shared" si="0"/>
        <v>1.2270125328868353</v>
      </c>
      <c r="W24" s="7"/>
      <c r="X24">
        <v>5.3800001740455627E-2</v>
      </c>
      <c r="Z24" s="7">
        <f t="shared" si="1"/>
        <v>0.12043901444201122</v>
      </c>
    </row>
    <row r="25" spans="1:49" x14ac:dyDescent="0.35">
      <c r="A25" s="2" t="s">
        <v>30</v>
      </c>
      <c r="B25">
        <v>7.9199999570846558E-2</v>
      </c>
      <c r="C25">
        <v>5.3300000727176666E-2</v>
      </c>
      <c r="D25">
        <v>0.10029999911785126</v>
      </c>
      <c r="E25">
        <v>9.9899999797344208E-2</v>
      </c>
      <c r="F25">
        <v>5.1199998706579208E-2</v>
      </c>
      <c r="G25">
        <v>5.0099998712539673E-2</v>
      </c>
      <c r="H25">
        <v>5.429999902844429E-2</v>
      </c>
      <c r="I25">
        <v>5.0700001418590546E-2</v>
      </c>
      <c r="J25">
        <v>7.7100001275539398E-2</v>
      </c>
      <c r="K25">
        <v>4.8700001090764999E-2</v>
      </c>
      <c r="L25">
        <v>4.479999840259552E-2</v>
      </c>
      <c r="M25">
        <v>0.11990000307559967</v>
      </c>
      <c r="T25">
        <v>6.1599999666213989E-2</v>
      </c>
      <c r="V25" s="7">
        <f t="shared" si="0"/>
        <v>0.24480892003358085</v>
      </c>
      <c r="W25" s="7"/>
      <c r="X25">
        <v>5.8299999684095383E-2</v>
      </c>
      <c r="Z25" s="7">
        <f t="shared" si="1"/>
        <v>0.19219086934501364</v>
      </c>
    </row>
    <row r="26" spans="1:49" x14ac:dyDescent="0.35">
      <c r="A26" s="2" t="s">
        <v>31</v>
      </c>
      <c r="B26">
        <v>7.6600000262260437E-2</v>
      </c>
      <c r="C26">
        <v>5.7599999010562897E-2</v>
      </c>
      <c r="D26">
        <v>5.6499999016523361E-2</v>
      </c>
      <c r="E26">
        <v>5.5199999362230301E-2</v>
      </c>
      <c r="F26">
        <v>4.8900000751018524E-2</v>
      </c>
      <c r="G26">
        <v>5.1399998366832733E-2</v>
      </c>
      <c r="H26">
        <v>8.7600000202655792E-2</v>
      </c>
      <c r="I26">
        <v>5.4999999701976776E-2</v>
      </c>
      <c r="J26">
        <v>8.3400003612041473E-2</v>
      </c>
      <c r="K26">
        <v>5.2299998700618744E-2</v>
      </c>
      <c r="L26">
        <v>3.8300000131130219E-2</v>
      </c>
      <c r="M26">
        <v>8.1200003623962402E-2</v>
      </c>
      <c r="T26">
        <v>5.7999998331069946E-2</v>
      </c>
      <c r="V26" s="7">
        <f t="shared" si="0"/>
        <v>0.18740738859178138</v>
      </c>
      <c r="W26" s="7"/>
      <c r="X26">
        <v>5.9799998998641968E-2</v>
      </c>
      <c r="Z26" s="7">
        <f t="shared" si="1"/>
        <v>0.2161081543126811</v>
      </c>
    </row>
    <row r="27" spans="1:49" x14ac:dyDescent="0.35">
      <c r="A27" s="2" t="s">
        <v>32</v>
      </c>
      <c r="B27">
        <v>6.5399996936321259E-2</v>
      </c>
      <c r="C27">
        <v>5.820000171661377E-2</v>
      </c>
      <c r="D27">
        <v>5.9700001031160355E-2</v>
      </c>
      <c r="E27">
        <v>6.6200003027915955E-2</v>
      </c>
      <c r="F27">
        <v>6.5399996936321259E-2</v>
      </c>
      <c r="G27">
        <v>9.3400001525878906E-2</v>
      </c>
      <c r="H27">
        <v>8.4100000560283661E-2</v>
      </c>
      <c r="I27">
        <v>6.7900002002716064E-2</v>
      </c>
      <c r="J27">
        <v>5.950000137090683E-2</v>
      </c>
      <c r="K27">
        <v>4.7499999403953552E-2</v>
      </c>
      <c r="L27">
        <v>4.5600000768899918E-2</v>
      </c>
      <c r="M27">
        <v>6.1400000005960464E-2</v>
      </c>
      <c r="T27">
        <v>0.10970000177621841</v>
      </c>
      <c r="V27" s="7">
        <f t="shared" si="0"/>
        <v>1.0117569087785812</v>
      </c>
      <c r="W27" s="7"/>
      <c r="X27">
        <v>5.4900001734495163E-2</v>
      </c>
      <c r="Z27" s="7">
        <f t="shared" si="1"/>
        <v>0.13797836467153363</v>
      </c>
      <c r="AI27" s="7">
        <f>(AG27-$AW$20)/$AW$19</f>
        <v>-0.73739469281967363</v>
      </c>
    </row>
    <row r="28" spans="1:49" x14ac:dyDescent="0.35">
      <c r="A28" s="2" t="s">
        <v>33</v>
      </c>
      <c r="B28">
        <v>4.6999998390674591E-2</v>
      </c>
      <c r="C28">
        <v>9.790000319480896E-2</v>
      </c>
      <c r="D28">
        <v>0.19990000128746033</v>
      </c>
      <c r="E28">
        <v>7.5099997222423553E-2</v>
      </c>
      <c r="F28">
        <v>0.13609999418258667</v>
      </c>
      <c r="G28">
        <v>0.13259999454021454</v>
      </c>
      <c r="H28">
        <v>8.5699997842311859E-2</v>
      </c>
      <c r="I28">
        <v>9.6100002527236938E-2</v>
      </c>
      <c r="J28">
        <v>6.8999998271465302E-2</v>
      </c>
      <c r="K28">
        <v>8.789999783039093E-2</v>
      </c>
      <c r="L28">
        <v>4.1499998420476913E-2</v>
      </c>
      <c r="M28">
        <v>4.3999999761581421E-2</v>
      </c>
      <c r="T28">
        <v>0.11869999766349792</v>
      </c>
      <c r="V28" s="7">
        <f t="shared" si="0"/>
        <v>1.155260618584586</v>
      </c>
      <c r="W28" s="7"/>
      <c r="X28">
        <v>8.4700003266334534E-2</v>
      </c>
      <c r="Z28" s="7">
        <f t="shared" si="1"/>
        <v>0.6131353342527982</v>
      </c>
    </row>
    <row r="29" spans="1:49" x14ac:dyDescent="0.35">
      <c r="A29" s="2" t="s">
        <v>34</v>
      </c>
      <c r="B29">
        <v>6.8400003015995026E-2</v>
      </c>
      <c r="C29">
        <v>5.8800000697374344E-2</v>
      </c>
      <c r="D29">
        <v>5.3599998354911804E-2</v>
      </c>
      <c r="E29">
        <v>4.8500001430511475E-2</v>
      </c>
      <c r="F29">
        <v>5.3899999707937241E-2</v>
      </c>
      <c r="G29">
        <v>4.3699998408555984E-2</v>
      </c>
      <c r="H29">
        <v>3.7399999797344208E-2</v>
      </c>
      <c r="I29">
        <v>8.4399998188018799E-2</v>
      </c>
      <c r="J29">
        <v>7.8599996864795685E-2</v>
      </c>
      <c r="K29">
        <v>4.830000177025795E-2</v>
      </c>
      <c r="L29">
        <v>4.2899999767541885E-2</v>
      </c>
      <c r="M29">
        <v>4.0899999439716339E-2</v>
      </c>
      <c r="T29">
        <v>6.679999828338623E-2</v>
      </c>
      <c r="V29" s="7">
        <f t="shared" si="0"/>
        <v>0.32772219042796058</v>
      </c>
      <c r="W29" s="7"/>
      <c r="X29">
        <v>5.7000000029802322E-2</v>
      </c>
      <c r="Z29" s="7">
        <f t="shared" si="1"/>
        <v>0.1714625517464187</v>
      </c>
    </row>
    <row r="30" spans="1:49" x14ac:dyDescent="0.35">
      <c r="A30" s="2" t="s">
        <v>35</v>
      </c>
      <c r="B30">
        <v>6.4900003373622894E-2</v>
      </c>
      <c r="C30">
        <v>7.1299999952316284E-2</v>
      </c>
      <c r="D30">
        <v>7.1999996900558472E-2</v>
      </c>
      <c r="E30">
        <v>6.0899998992681503E-2</v>
      </c>
      <c r="F30">
        <v>3.6299999803304672E-2</v>
      </c>
      <c r="G30">
        <v>9.4899997115135193E-2</v>
      </c>
      <c r="H30">
        <v>5.5799998342990875E-2</v>
      </c>
      <c r="I30">
        <v>8.5100002586841583E-2</v>
      </c>
      <c r="J30">
        <v>9.1200001537799835E-2</v>
      </c>
      <c r="K30">
        <v>4.7499999403953552E-2</v>
      </c>
      <c r="L30">
        <v>4.2800001800060272E-2</v>
      </c>
      <c r="M30">
        <v>3.3900000154972076E-2</v>
      </c>
      <c r="T30" cm="1">
        <f t="array" ref="T30:T39">TRANSPOSE(B51:K51)</f>
        <v>9.0499997138977051E-2</v>
      </c>
      <c r="V30" s="7">
        <f t="shared" si="0"/>
        <v>0.70561544735514858</v>
      </c>
      <c r="W30" s="7"/>
      <c r="X30" cm="1">
        <f t="array" ref="X30:X39">TRANSPOSE(B52:K52)</f>
        <v>9.0000003576278687E-2</v>
      </c>
      <c r="Z30" s="7">
        <f t="shared" si="1"/>
        <v>0.69764311803133761</v>
      </c>
    </row>
    <row r="31" spans="1:49" x14ac:dyDescent="0.35">
      <c r="A31" s="2" t="s">
        <v>36</v>
      </c>
      <c r="B31">
        <v>5.8600001037120819E-2</v>
      </c>
      <c r="C31">
        <v>0.10649999976158142</v>
      </c>
      <c r="D31">
        <v>3.7099998444318771E-2</v>
      </c>
      <c r="E31">
        <v>7.2499997913837433E-2</v>
      </c>
      <c r="F31">
        <v>6.1799999326467514E-2</v>
      </c>
      <c r="G31">
        <v>6.6699996590614319E-2</v>
      </c>
      <c r="H31">
        <v>6.4400002360343933E-2</v>
      </c>
      <c r="I31">
        <v>8.4399998188018799E-2</v>
      </c>
      <c r="J31">
        <v>6.9099999964237213E-2</v>
      </c>
      <c r="K31">
        <v>4.2899999767541885E-2</v>
      </c>
      <c r="L31">
        <v>4.479999840259552E-2</v>
      </c>
      <c r="M31">
        <v>3.6600001156330109E-2</v>
      </c>
      <c r="T31">
        <v>6.2199998646974564E-2</v>
      </c>
      <c r="V31" s="7">
        <f t="shared" si="0"/>
        <v>0.25437582214079846</v>
      </c>
      <c r="W31" s="7"/>
      <c r="X31">
        <v>6.7500002682209015E-2</v>
      </c>
      <c r="Z31" s="7">
        <f t="shared" si="1"/>
        <v>0.33888366531858483</v>
      </c>
    </row>
    <row r="32" spans="1:49" x14ac:dyDescent="0.35">
      <c r="T32">
        <v>6.9700002670288086E-2</v>
      </c>
      <c r="V32" s="7">
        <f t="shared" si="0"/>
        <v>0.37396236577762965</v>
      </c>
      <c r="W32" s="7"/>
      <c r="X32">
        <v>6.9300003349781036E-2</v>
      </c>
      <c r="Z32" s="7">
        <f t="shared" si="1"/>
        <v>0.36758443103948457</v>
      </c>
    </row>
    <row r="33" spans="1:26" x14ac:dyDescent="0.35">
      <c r="T33">
        <v>6.8000003695487976E-2</v>
      </c>
      <c r="V33" s="7">
        <f t="shared" si="0"/>
        <v>0.34685611344088962</v>
      </c>
      <c r="W33" s="7"/>
      <c r="X33">
        <v>0.10029999911785126</v>
      </c>
      <c r="Z33" s="7">
        <f t="shared" si="1"/>
        <v>0.86187514543593746</v>
      </c>
    </row>
    <row r="34" spans="1:26" x14ac:dyDescent="0.35">
      <c r="T34">
        <v>5.9700001031160355E-2</v>
      </c>
      <c r="V34" s="7">
        <f t="shared" si="0"/>
        <v>0.21451370032776829</v>
      </c>
      <c r="W34" s="7"/>
      <c r="X34">
        <v>8.3800002932548523E-2</v>
      </c>
      <c r="Z34" s="7">
        <f t="shared" si="1"/>
        <v>0.59878495139234833</v>
      </c>
    </row>
    <row r="35" spans="1:26" x14ac:dyDescent="0.35">
      <c r="A35" t="s">
        <v>37</v>
      </c>
      <c r="B35" s="1" t="s">
        <v>38</v>
      </c>
      <c r="T35">
        <v>5.299999937415123E-2</v>
      </c>
      <c r="V35" s="7">
        <f t="shared" si="0"/>
        <v>0.10768308556647416</v>
      </c>
      <c r="W35" s="7"/>
      <c r="X35">
        <v>0.14480000734329224</v>
      </c>
      <c r="Z35" s="7">
        <f t="shared" si="1"/>
        <v>1.571421721537632</v>
      </c>
    </row>
    <row r="36" spans="1:26" x14ac:dyDescent="0.35">
      <c r="T36">
        <v>0.10350000113248825</v>
      </c>
      <c r="V36" s="7">
        <f t="shared" si="0"/>
        <v>0.91289874213959177</v>
      </c>
      <c r="W36" s="7"/>
      <c r="X36">
        <v>0.1031000018119812</v>
      </c>
      <c r="Z36" s="7">
        <f t="shared" si="1"/>
        <v>0.90652080740144669</v>
      </c>
    </row>
    <row r="37" spans="1:26" x14ac:dyDescent="0.35">
      <c r="T37">
        <v>6.3600003719329834E-2</v>
      </c>
      <c r="V37" s="7">
        <f t="shared" si="0"/>
        <v>0.27669871252280004</v>
      </c>
      <c r="W37" s="7"/>
      <c r="X37">
        <v>7.9099997878074646E-2</v>
      </c>
      <c r="Z37" s="7">
        <f t="shared" si="1"/>
        <v>0.52384401032177952</v>
      </c>
    </row>
    <row r="38" spans="1:26" x14ac:dyDescent="0.35">
      <c r="T38">
        <v>9.3900002539157867E-2</v>
      </c>
      <c r="V38" s="7">
        <f t="shared" si="0"/>
        <v>0.75982807082712245</v>
      </c>
      <c r="W38" s="7"/>
      <c r="X38">
        <v>6.8199999630451202E-2</v>
      </c>
      <c r="Z38" s="7">
        <f t="shared" si="1"/>
        <v>0.35004502141071525</v>
      </c>
    </row>
    <row r="39" spans="1:26" x14ac:dyDescent="0.35">
      <c r="T39">
        <v>6.6299997270107269E-2</v>
      </c>
      <c r="V39" s="7">
        <f t="shared" si="0"/>
        <v>0.31974974230565578</v>
      </c>
      <c r="W39" s="7"/>
      <c r="X39">
        <v>5.0599999725818634E-2</v>
      </c>
      <c r="Z39" s="7">
        <f t="shared" si="1"/>
        <v>6.9415417738356827E-2</v>
      </c>
    </row>
    <row r="40" spans="1:26" x14ac:dyDescent="0.35">
      <c r="A40" t="s">
        <v>39</v>
      </c>
      <c r="T40" cm="1">
        <f t="array" ref="T40:T49">TRANSPOSE(B53:K53)</f>
        <v>6.289999932050705E-2</v>
      </c>
      <c r="V40" s="7">
        <f t="shared" si="0"/>
        <v>0.26553723763217579</v>
      </c>
      <c r="W40" s="7"/>
      <c r="X40" cm="1">
        <f t="array" ref="X40:X49">TRANSPOSE(B54:K54)</f>
        <v>7.9700000584125519E-2</v>
      </c>
      <c r="Z40" s="7">
        <f t="shared" si="1"/>
        <v>0.53341097182824404</v>
      </c>
    </row>
    <row r="41" spans="1:26" x14ac:dyDescent="0.35">
      <c r="A41" t="s">
        <v>18</v>
      </c>
      <c r="E41" t="s">
        <v>19</v>
      </c>
      <c r="T41">
        <v>0.12160000205039978</v>
      </c>
      <c r="V41" s="7">
        <f t="shared" si="0"/>
        <v>1.201500793934255</v>
      </c>
      <c r="W41" s="7"/>
      <c r="X41">
        <v>8.659999817609787E-2</v>
      </c>
      <c r="Z41" s="7">
        <f t="shared" si="1"/>
        <v>0.64343049455936385</v>
      </c>
    </row>
    <row r="42" spans="1:26" x14ac:dyDescent="0.35">
      <c r="A42" t="s">
        <v>20</v>
      </c>
      <c r="E42">
        <v>628</v>
      </c>
      <c r="F42" t="s">
        <v>21</v>
      </c>
      <c r="T42">
        <v>0.17589999735355377</v>
      </c>
      <c r="V42" s="7">
        <f t="shared" si="0"/>
        <v>2.0673068305197506</v>
      </c>
      <c r="W42" s="7"/>
      <c r="X42">
        <v>6.4900003373622894E-2</v>
      </c>
      <c r="Z42" s="7">
        <f t="shared" si="1"/>
        <v>0.29742703012139493</v>
      </c>
    </row>
    <row r="43" spans="1:26" x14ac:dyDescent="0.35">
      <c r="A43" t="s">
        <v>22</v>
      </c>
      <c r="E43">
        <v>25</v>
      </c>
      <c r="T43">
        <v>8.6699999868869781E-2</v>
      </c>
      <c r="V43" s="7">
        <f t="shared" si="0"/>
        <v>0.64502500794352358</v>
      </c>
      <c r="W43" s="7"/>
      <c r="X43">
        <v>5.0700001418590546E-2</v>
      </c>
      <c r="Z43" s="7">
        <f t="shared" si="1"/>
        <v>7.1009931122516551E-2</v>
      </c>
    </row>
    <row r="44" spans="1:26" x14ac:dyDescent="0.35">
      <c r="A44" t="s">
        <v>23</v>
      </c>
      <c r="E44">
        <v>0</v>
      </c>
      <c r="F44" t="s">
        <v>24</v>
      </c>
      <c r="T44">
        <v>0.18029999732971191</v>
      </c>
      <c r="V44" s="7">
        <f t="shared" si="0"/>
        <v>2.1374642314378405</v>
      </c>
      <c r="W44" s="7"/>
      <c r="X44">
        <v>6.2199998646974564E-2</v>
      </c>
      <c r="Z44" s="7">
        <f t="shared" si="1"/>
        <v>0.25437582214079846</v>
      </c>
    </row>
    <row r="45" spans="1:26" x14ac:dyDescent="0.35">
      <c r="A45" t="s">
        <v>25</v>
      </c>
      <c r="B45" s="1" t="s">
        <v>38</v>
      </c>
      <c r="T45">
        <v>0.13289999961853027</v>
      </c>
      <c r="V45" s="7">
        <f t="shared" si="0"/>
        <v>1.3816777175834645</v>
      </c>
      <c r="W45" s="7"/>
      <c r="X45">
        <v>4.3699998408555984E-2</v>
      </c>
      <c r="Z45" s="7">
        <f t="shared" si="1"/>
        <v>-4.0604164392009846E-2</v>
      </c>
    </row>
    <row r="46" spans="1:26" x14ac:dyDescent="0.35">
      <c r="T46">
        <v>0.12649999558925629</v>
      </c>
      <c r="V46" s="7">
        <f t="shared" si="0"/>
        <v>1.2796305241761556</v>
      </c>
      <c r="W46" s="7"/>
      <c r="X46">
        <v>3.7900000810623169E-2</v>
      </c>
      <c r="Z46" s="7">
        <f t="shared" si="1"/>
        <v>-0.13308433689360719</v>
      </c>
    </row>
    <row r="47" spans="1:26" x14ac:dyDescent="0.35">
      <c r="B47" t="s">
        <v>40</v>
      </c>
      <c r="T47">
        <v>0.11410000175237656</v>
      </c>
      <c r="V47" s="7">
        <f t="shared" si="0"/>
        <v>1.0819143096966708</v>
      </c>
      <c r="W47" s="7"/>
      <c r="X47">
        <v>0.1005999967455864</v>
      </c>
      <c r="Z47" s="7">
        <f t="shared" si="1"/>
        <v>0.8666585667899227</v>
      </c>
    </row>
    <row r="48" spans="1:26" x14ac:dyDescent="0.35">
      <c r="A48" s="2" t="s">
        <v>28</v>
      </c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T48">
        <v>7.9300001263618469E-2</v>
      </c>
      <c r="V48" s="7">
        <f t="shared" si="0"/>
        <v>0.52703303709009897</v>
      </c>
      <c r="W48" s="7"/>
      <c r="X48">
        <v>8.0799996852874756E-2</v>
      </c>
      <c r="Z48" s="7">
        <f t="shared" si="1"/>
        <v>0.55095026265851954</v>
      </c>
    </row>
    <row r="49" spans="1:26" x14ac:dyDescent="0.35">
      <c r="A49" s="2" t="s">
        <v>29</v>
      </c>
      <c r="B49">
        <v>4.9800001084804535E-2</v>
      </c>
      <c r="C49">
        <v>6.8599998950958252E-2</v>
      </c>
      <c r="D49">
        <v>8.7999999523162842E-2</v>
      </c>
      <c r="E49">
        <v>6.2300000339746475E-2</v>
      </c>
      <c r="F49">
        <v>0.12319999933242798</v>
      </c>
      <c r="G49">
        <v>6.1599999666213989E-2</v>
      </c>
      <c r="H49">
        <v>5.7999998331069946E-2</v>
      </c>
      <c r="I49">
        <v>0.10970000177621841</v>
      </c>
      <c r="J49">
        <v>0.11869999766349792</v>
      </c>
      <c r="K49">
        <v>6.679999828338623E-2</v>
      </c>
      <c r="L49">
        <v>5.5900000035762787E-2</v>
      </c>
      <c r="M49">
        <v>2.4825999736785889</v>
      </c>
      <c r="T49">
        <v>9.66000035405159E-2</v>
      </c>
      <c r="V49" s="7">
        <f t="shared" si="0"/>
        <v>0.80287921940847207</v>
      </c>
      <c r="W49" s="7"/>
      <c r="X49">
        <v>4.8500001430511475E-2</v>
      </c>
      <c r="Z49" s="7">
        <f t="shared" si="1"/>
        <v>3.5931230663471744E-2</v>
      </c>
    </row>
    <row r="50" spans="1:26" x14ac:dyDescent="0.35">
      <c r="A50" s="2" t="s">
        <v>30</v>
      </c>
      <c r="B50">
        <v>9.7699999809265137E-2</v>
      </c>
      <c r="C50">
        <v>6.5999999642372131E-2</v>
      </c>
      <c r="D50">
        <v>0.11620000004768372</v>
      </c>
      <c r="E50">
        <v>0.11959999799728394</v>
      </c>
      <c r="F50">
        <v>5.3800001740455627E-2</v>
      </c>
      <c r="G50">
        <v>5.8299999684095383E-2</v>
      </c>
      <c r="H50">
        <v>5.9799998998641968E-2</v>
      </c>
      <c r="I50">
        <v>5.4900001734495163E-2</v>
      </c>
      <c r="J50">
        <v>8.4700003266334534E-2</v>
      </c>
      <c r="K50">
        <v>5.7000000029802322E-2</v>
      </c>
      <c r="L50">
        <v>4.4199999421834946E-2</v>
      </c>
      <c r="M50">
        <v>1.2786999940872192</v>
      </c>
      <c r="T50" cm="1">
        <f t="array" ref="T50:T59">TRANSPOSE(B55:K55)</f>
        <v>8.959999680519104E-2</v>
      </c>
      <c r="V50" s="7">
        <f t="shared" si="0"/>
        <v>0.69126506449469871</v>
      </c>
      <c r="W50" s="7"/>
      <c r="X50" cm="1">
        <f t="array" ref="X50:X59">TRANSPOSE(B56:K56)</f>
        <v>8.5199996829032898E-2</v>
      </c>
      <c r="Z50" s="7">
        <f t="shared" si="1"/>
        <v>0.62110766357660918</v>
      </c>
    </row>
    <row r="51" spans="1:26" x14ac:dyDescent="0.35">
      <c r="A51" s="2" t="s">
        <v>31</v>
      </c>
      <c r="B51">
        <v>9.0499997138977051E-2</v>
      </c>
      <c r="C51">
        <v>6.2199998646974564E-2</v>
      </c>
      <c r="D51">
        <v>6.9700002670288086E-2</v>
      </c>
      <c r="E51">
        <v>6.8000003695487976E-2</v>
      </c>
      <c r="F51">
        <v>5.9700001031160355E-2</v>
      </c>
      <c r="G51">
        <v>5.299999937415123E-2</v>
      </c>
      <c r="H51">
        <v>0.10350000113248825</v>
      </c>
      <c r="I51">
        <v>6.3600003719329834E-2</v>
      </c>
      <c r="J51">
        <v>9.3900002539157867E-2</v>
      </c>
      <c r="K51">
        <v>6.6299997270107269E-2</v>
      </c>
      <c r="L51">
        <v>3.7000000476837158E-2</v>
      </c>
      <c r="M51">
        <v>0.67390000820159912</v>
      </c>
      <c r="T51">
        <v>0.18809999525547028</v>
      </c>
      <c r="V51" s="7">
        <f t="shared" si="0"/>
        <v>2.2618341370294099</v>
      </c>
      <c r="W51" s="7"/>
      <c r="X51">
        <v>0.10540000349283218</v>
      </c>
      <c r="Z51" s="7">
        <f t="shared" si="1"/>
        <v>0.94319402124465124</v>
      </c>
    </row>
    <row r="52" spans="1:26" x14ac:dyDescent="0.35">
      <c r="A52" s="2" t="s">
        <v>32</v>
      </c>
      <c r="B52">
        <v>9.0000003576278687E-2</v>
      </c>
      <c r="C52">
        <v>6.7500002682209015E-2</v>
      </c>
      <c r="D52">
        <v>6.9300003349781036E-2</v>
      </c>
      <c r="E52">
        <v>0.10029999911785126</v>
      </c>
      <c r="F52">
        <v>8.3800002932548523E-2</v>
      </c>
      <c r="G52">
        <v>0.14480000734329224</v>
      </c>
      <c r="H52">
        <v>0.1031000018119812</v>
      </c>
      <c r="I52">
        <v>7.9099997878074646E-2</v>
      </c>
      <c r="J52">
        <v>6.8199999630451202E-2</v>
      </c>
      <c r="K52">
        <v>5.0599999725818634E-2</v>
      </c>
      <c r="L52">
        <v>4.479999840259552E-2</v>
      </c>
      <c r="M52">
        <v>0.3619999885559082</v>
      </c>
      <c r="T52">
        <v>8.3700001239776611E-2</v>
      </c>
      <c r="V52" s="7">
        <f t="shared" si="0"/>
        <v>0.59719043800818861</v>
      </c>
      <c r="W52" s="7"/>
      <c r="X52">
        <v>3.9099998772144318E-2</v>
      </c>
      <c r="Z52" s="7">
        <f t="shared" si="1"/>
        <v>-0.11395053267917199</v>
      </c>
    </row>
    <row r="53" spans="1:26" x14ac:dyDescent="0.35">
      <c r="A53" s="2" t="s">
        <v>33</v>
      </c>
      <c r="B53">
        <v>6.289999932050705E-2</v>
      </c>
      <c r="C53">
        <v>0.12160000205039978</v>
      </c>
      <c r="D53">
        <v>0.17589999735355377</v>
      </c>
      <c r="E53">
        <v>8.6699999868869781E-2</v>
      </c>
      <c r="F53">
        <v>0.18029999732971191</v>
      </c>
      <c r="G53">
        <v>0.13289999961853027</v>
      </c>
      <c r="H53">
        <v>0.12649999558925629</v>
      </c>
      <c r="I53">
        <v>0.11410000175237656</v>
      </c>
      <c r="J53">
        <v>7.9300001263618469E-2</v>
      </c>
      <c r="K53">
        <v>9.66000035405159E-2</v>
      </c>
      <c r="L53">
        <v>4.1200000792741776E-2</v>
      </c>
      <c r="M53">
        <v>0.19730000197887421</v>
      </c>
      <c r="T53">
        <v>9.6500001847743988E-2</v>
      </c>
      <c r="V53" s="7">
        <f t="shared" si="0"/>
        <v>0.80128470602431234</v>
      </c>
      <c r="W53" s="7"/>
      <c r="X53">
        <v>9.0800002217292786E-2</v>
      </c>
      <c r="Z53" s="7">
        <f t="shared" si="1"/>
        <v>0.71039898750762775</v>
      </c>
    </row>
    <row r="54" spans="1:26" x14ac:dyDescent="0.35">
      <c r="A54" s="2" t="s">
        <v>34</v>
      </c>
      <c r="B54">
        <v>7.9700000584125519E-2</v>
      </c>
      <c r="C54">
        <v>8.659999817609787E-2</v>
      </c>
      <c r="D54">
        <v>6.4900003373622894E-2</v>
      </c>
      <c r="E54">
        <v>5.0700001418590546E-2</v>
      </c>
      <c r="F54">
        <v>6.2199998646974564E-2</v>
      </c>
      <c r="G54">
        <v>4.3699998408555984E-2</v>
      </c>
      <c r="H54">
        <v>3.7900000810623169E-2</v>
      </c>
      <c r="I54">
        <v>0.1005999967455864</v>
      </c>
      <c r="J54">
        <v>8.0799996852874756E-2</v>
      </c>
      <c r="K54">
        <v>4.8500001430511475E-2</v>
      </c>
      <c r="L54">
        <v>4.2899999767541885E-2</v>
      </c>
      <c r="M54">
        <v>0.11779999732971191</v>
      </c>
      <c r="T54">
        <v>3.7700001150369644E-2</v>
      </c>
      <c r="V54" s="7">
        <f t="shared" si="0"/>
        <v>-0.13627330426267972</v>
      </c>
      <c r="W54" s="7"/>
      <c r="X54">
        <v>6.0400001704692841E-2</v>
      </c>
      <c r="Z54" s="7">
        <f t="shared" si="1"/>
        <v>0.22567511581914562</v>
      </c>
    </row>
    <row r="55" spans="1:26" x14ac:dyDescent="0.35">
      <c r="A55" s="2" t="s">
        <v>35</v>
      </c>
      <c r="B55">
        <v>8.959999680519104E-2</v>
      </c>
      <c r="C55">
        <v>0.18809999525547028</v>
      </c>
      <c r="D55">
        <v>8.3700001239776611E-2</v>
      </c>
      <c r="E55">
        <v>9.6500001847743988E-2</v>
      </c>
      <c r="F55">
        <v>3.7700001150369644E-2</v>
      </c>
      <c r="G55">
        <v>0.12880000472068787</v>
      </c>
      <c r="H55">
        <v>8.6699999868869781E-2</v>
      </c>
      <c r="I55">
        <v>9.1200001537799835E-2</v>
      </c>
      <c r="J55">
        <v>8.2999996840953827E-2</v>
      </c>
      <c r="K55">
        <v>4.8700001090764999E-2</v>
      </c>
      <c r="L55">
        <v>4.2899999767541885E-2</v>
      </c>
      <c r="M55">
        <v>7.5099997222423553E-2</v>
      </c>
      <c r="T55">
        <v>0.12880000472068787</v>
      </c>
      <c r="V55" s="7">
        <f t="shared" si="0"/>
        <v>1.316303856817854</v>
      </c>
      <c r="W55" s="7"/>
      <c r="X55">
        <v>7.6300002634525299E-2</v>
      </c>
      <c r="Z55" s="7">
        <f t="shared" si="1"/>
        <v>0.47919846715476405</v>
      </c>
    </row>
    <row r="56" spans="1:26" x14ac:dyDescent="0.35">
      <c r="A56" s="2" t="s">
        <v>36</v>
      </c>
      <c r="B56">
        <v>8.5199996829032898E-2</v>
      </c>
      <c r="C56">
        <v>0.10540000349283218</v>
      </c>
      <c r="D56">
        <v>3.9099998772144318E-2</v>
      </c>
      <c r="E56">
        <v>9.0800002217292786E-2</v>
      </c>
      <c r="F56">
        <v>6.0400001704692841E-2</v>
      </c>
      <c r="G56">
        <v>7.6300002634525299E-2</v>
      </c>
      <c r="H56">
        <v>7.9499997198581696E-2</v>
      </c>
      <c r="I56">
        <v>0.11490000039339066</v>
      </c>
      <c r="J56">
        <v>6.4400002360343933E-2</v>
      </c>
      <c r="K56">
        <v>4.1200000792741776E-2</v>
      </c>
      <c r="L56">
        <v>4.2500000447034836E-2</v>
      </c>
      <c r="M56">
        <v>3.6800000816583633E-2</v>
      </c>
      <c r="T56">
        <v>8.6699999868869781E-2</v>
      </c>
      <c r="V56" s="7">
        <f t="shared" si="0"/>
        <v>0.64502500794352358</v>
      </c>
      <c r="W56" s="7"/>
      <c r="X56">
        <v>7.9499997198581696E-2</v>
      </c>
      <c r="Z56" s="7">
        <f t="shared" si="1"/>
        <v>0.53022194505992459</v>
      </c>
    </row>
    <row r="57" spans="1:26" x14ac:dyDescent="0.35">
      <c r="T57">
        <v>9.1200001537799835E-2</v>
      </c>
      <c r="V57" s="7">
        <f t="shared" si="0"/>
        <v>0.71677692224577283</v>
      </c>
      <c r="W57" s="7"/>
      <c r="X57">
        <v>0.11490000039339066</v>
      </c>
      <c r="Z57" s="7">
        <f t="shared" si="1"/>
        <v>1.0946701791729609</v>
      </c>
    </row>
    <row r="58" spans="1:26" x14ac:dyDescent="0.35">
      <c r="T58">
        <v>8.2999996840953827E-2</v>
      </c>
      <c r="V58" s="7">
        <f t="shared" si="0"/>
        <v>0.58602896311756436</v>
      </c>
      <c r="W58" s="7"/>
      <c r="X58">
        <v>6.4400002360343933E-2</v>
      </c>
      <c r="Z58" s="7">
        <f t="shared" si="1"/>
        <v>0.28945458199909013</v>
      </c>
    </row>
    <row r="59" spans="1:26" x14ac:dyDescent="0.35">
      <c r="T59">
        <v>4.8700001090764999E-2</v>
      </c>
      <c r="V59" s="7">
        <f t="shared" si="0"/>
        <v>3.9120198032544282E-2</v>
      </c>
      <c r="W59" s="7"/>
      <c r="X59">
        <v>4.1200000792741776E-2</v>
      </c>
      <c r="Z59" s="7">
        <f t="shared" si="1"/>
        <v>-8.0466286205039997E-2</v>
      </c>
    </row>
    <row r="60" spans="1:26" x14ac:dyDescent="0.35">
      <c r="A60" t="s">
        <v>37</v>
      </c>
      <c r="B60" s="1" t="s">
        <v>41</v>
      </c>
    </row>
    <row r="62" spans="1:26" x14ac:dyDescent="0.35">
      <c r="U62">
        <f>AVERAGE(V20:V59)</f>
        <v>0.71673703565147007</v>
      </c>
      <c r="Y62">
        <f>AVERAGE(Z20:Z59)</f>
        <v>0.47341842147635671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LabArchives xmlns:xsi="http://www.w3.org/2001/XMLSchema-instance" xmlns:xsd="http://www.w3.org/2001/XMLSchema">
  <BaseUri>https://au-mynotebook.labarchives.com</BaseUri>
  <eid>NzEuNXwxNDcyNzgvNTUvRW50cnlQYXJ0LzE0MTQ5OTAwMTl8MTgxLjU=</eid>
  <version>1</version>
  <updated-at>2025-09-23T07:22:16Z</updated-at>
</LabArchives>
</file>

<file path=customXml/itemProps1.xml><?xml version="1.0" encoding="utf-8"?>
<ds:datastoreItem xmlns:ds="http://schemas.openxmlformats.org/officeDocument/2006/customXml" ds:itemID="{E8D58EA8-94FC-452E-90FC-088CE5D3FF65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</dc:creator>
  <cp:lastModifiedBy>Anannya Gautam</cp:lastModifiedBy>
  <dcterms:created xsi:type="dcterms:W3CDTF">2025-09-23T07:19:44Z</dcterms:created>
  <dcterms:modified xsi:type="dcterms:W3CDTF">2025-09-24T06:34:30Z</dcterms:modified>
</cp:coreProperties>
</file>